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목록" sheetId="1" state="hidden" r:id="rId1"/>
    <sheet name="데이터" sheetId="2" r:id="rId2"/>
    <sheet name="릴리스세트" sheetId="3" r:id="rId3"/>
    <sheet name="호환매트릭스" sheetId="4" r:id="rId4"/>
  </sheets>
  <definedNames>
    <definedName name="_xlnm._FilterDatabase" localSheetId="1" hidden="1">데이터!$A$1:$E$45</definedName>
    <definedName name="v_bf">'목록'!$G$2:$G$7</definedName>
    <definedName name="v_cmp">'목록'!$H$2:$H$10</definedName>
    <definedName name="v_p1">'목록'!$D$2:$D$12</definedName>
    <definedName name="v_p2">'목록'!$E$2:$E$10</definedName>
    <definedName name="v_sds">'목록'!$F$2:$F$8</definedName>
    <definedName name="제품목록">'목록'!$A$2:$A$6</definedName>
  </definedNames>
  <calcPr calcId="124519" fullCalcOnLoad="1"/>
</workbook>
</file>

<file path=xl/sharedStrings.xml><?xml version="1.0" encoding="utf-8"?>
<sst xmlns="http://schemas.openxmlformats.org/spreadsheetml/2006/main" count="383" uniqueCount="105">
  <si>
    <t>제품</t>
  </si>
  <si>
    <t>범위이름</t>
  </si>
  <si>
    <t>콘트라베이스</t>
  </si>
  <si>
    <t>v_p1</t>
  </si>
  <si>
    <t>비올라</t>
  </si>
  <si>
    <t>v_p2</t>
  </si>
  <si>
    <t>SDS+</t>
  </si>
  <si>
    <t>v_sds</t>
  </si>
  <si>
    <t>BF</t>
  </si>
  <si>
    <t>v_bf</t>
  </si>
  <si>
    <t>CMP</t>
  </si>
  <si>
    <t>v_cmp</t>
  </si>
  <si>
    <t>6.2.0</t>
  </si>
  <si>
    <t>6.0.1</t>
  </si>
  <si>
    <t>6.0.0</t>
  </si>
  <si>
    <t>5.2.1</t>
  </si>
  <si>
    <t>5.2.0</t>
  </si>
  <si>
    <t>5.0.5</t>
  </si>
  <si>
    <t>5.0.2</t>
  </si>
  <si>
    <t>5.0.0</t>
  </si>
  <si>
    <t>4.4.0</t>
  </si>
  <si>
    <t>4.2.3</t>
  </si>
  <si>
    <t>4.2.0</t>
  </si>
  <si>
    <t>4.0.0</t>
  </si>
  <si>
    <t>3.4.2</t>
  </si>
  <si>
    <t>3.4.0</t>
  </si>
  <si>
    <t>3.2.0</t>
  </si>
  <si>
    <t>3.0.3</t>
  </si>
  <si>
    <t>3.0.0</t>
  </si>
  <si>
    <t>2.8.0</t>
  </si>
  <si>
    <t>2.6.4</t>
  </si>
  <si>
    <t>2.6.0</t>
  </si>
  <si>
    <t>2.4.0</t>
  </si>
  <si>
    <t>2.2.0</t>
  </si>
  <si>
    <t>2.0.1</t>
  </si>
  <si>
    <t>2.0.0</t>
  </si>
  <si>
    <t>1.9.0</t>
  </si>
  <si>
    <t>1.8.0</t>
  </si>
  <si>
    <t>2.1.0</t>
  </si>
  <si>
    <t>1.6.0</t>
  </si>
  <si>
    <t>1.5.0</t>
  </si>
  <si>
    <t>1.4.0</t>
  </si>
  <si>
    <t>5.0.1</t>
  </si>
  <si>
    <t>4.2.1</t>
  </si>
  <si>
    <t>3.11.0</t>
  </si>
  <si>
    <t>3.9.2</t>
  </si>
  <si>
    <t>3.9.0</t>
  </si>
  <si>
    <t>세트ID</t>
  </si>
  <si>
    <t>버전</t>
  </si>
  <si>
    <t>단서 조건</t>
  </si>
  <si>
    <t>매칭</t>
  </si>
  <si>
    <t>R2026.2</t>
  </si>
  <si>
    <t/>
  </si>
  <si>
    <t>R2026.1</t>
  </si>
  <si>
    <t>SDS+ 2.4.0 은 콘트라베이스 6.0.1 이상에서만 스냅샷 오프로딩을 지원합니다.</t>
  </si>
  <si>
    <t>R2025.2</t>
  </si>
  <si>
    <t>BF 2.0.0 부터 백업 카탈로그 스키마가 변경되어 1.x 로 되돌릴 수 없습니다.</t>
  </si>
  <si>
    <t>R2025.1</t>
  </si>
  <si>
    <t>R2024.2</t>
  </si>
  <si>
    <t>R2024.1</t>
  </si>
  <si>
    <t>릴리스 세트 원장 — 한 세트 안의 버전들끼리 서로 호환됩니다</t>
  </si>
  <si>
    <t>릴리스 세트</t>
  </si>
  <si>
    <t>상태</t>
  </si>
  <si>
    <t>출시</t>
  </si>
  <si>
    <t>지원 종료</t>
  </si>
  <si>
    <t>선택 포함</t>
  </si>
  <si>
    <t>최신</t>
  </si>
  <si>
    <t>2026-09</t>
  </si>
  <si>
    <t>2027-09</t>
  </si>
  <si>
    <t>LTS</t>
  </si>
  <si>
    <t>2026-03</t>
  </si>
  <si>
    <t>2028-03</t>
  </si>
  <si>
    <t>6.0.1, 6.0.0</t>
  </si>
  <si>
    <t>3.4.2, 3.4.0</t>
  </si>
  <si>
    <t>5.0.1, 5.0.0</t>
  </si>
  <si>
    <t>지원중</t>
  </si>
  <si>
    <t>2025-09</t>
  </si>
  <si>
    <t>5.2.1, 5.2.0, 5.0.5</t>
  </si>
  <si>
    <t>4.4.0, 4.2.1</t>
  </si>
  <si>
    <t>2025-03</t>
  </si>
  <si>
    <t>2027-03</t>
  </si>
  <si>
    <t>5.0.5, 5.0.2, 5.0.0</t>
  </si>
  <si>
    <t>3.0.3, 3.0.0</t>
  </si>
  <si>
    <t>2.0.1, 2.0.0</t>
  </si>
  <si>
    <t>4.2.1, 4.2.0</t>
  </si>
  <si>
    <t>지원종료</t>
  </si>
  <si>
    <t>2024-09</t>
  </si>
  <si>
    <t>2024-03</t>
  </si>
  <si>
    <t>4.2.3, 4.2.0</t>
  </si>
  <si>
    <t>2.6.4, 2.6.0</t>
  </si>
  <si>
    <t>3.9.2, 3.9.0</t>
  </si>
  <si>
    <t>제품군 버전 호환성 매트릭스</t>
  </si>
  <si>
    <t>제품과 버전을 고르면 함께 쓸 수 있는 버전이 초록으로 표시됩니다. 호환 기준은 개별 버전 쌍이 아니라 릴리스 세트이며, 한 버전이 여러 세트에 걸치면 그 세트들의 합집합이 호환 범위가 됩니다.</t>
  </si>
  <si>
    <t>매칭 세트</t>
  </si>
  <si>
    <t>선택한 버전이 속한 릴리스 세트입니다. 여러 개면 합집합이 호환 범위가 됩니다.</t>
  </si>
  <si>
    <t>오케스트레이션 엔진</t>
  </si>
  <si>
    <t>모니터링 · 관측</t>
  </si>
  <si>
    <t>소프트웨어 정의 스토리지</t>
  </si>
  <si>
    <t>백업 · 페일오버</t>
  </si>
  <si>
    <t>클라우드 관리 포털</t>
  </si>
  <si>
    <t>범례</t>
  </si>
  <si>
    <t>선택</t>
  </si>
  <si>
    <t>호환</t>
  </si>
  <si>
    <t>비호환</t>
  </si>
  <si>
    <t>데이터를 바꾸려면 호환성_입력.csv 를 수정한 뒤 python3 build_compat.py 를 다시 실행하세요.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</si>
</sst>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9.5"/>
      <color rgb="FF4A5160"/>
      <name val="맑은 고딕"/>
      <family val="2"/>
    </font>
    <font>
      <b/>
      <sz val="10.5"/>
      <color rgb="FF15181F"/>
      <name val="Consolas"/>
      <family val="2"/>
    </font>
    <font>
      <sz val="10"/>
      <color rgb="FF4A5160"/>
      <name val="Consolas"/>
      <family val="2"/>
    </font>
    <font>
      <sz val="9.5"/>
      <color rgb="FF6E4B0F"/>
      <name val="맑은 고딕"/>
      <family val="2"/>
    </font>
    <font>
      <b/>
      <sz val="13"/>
      <color rgb="FF15181F"/>
      <name val="맑은 고딕"/>
      <family val="2"/>
    </font>
    <font>
      <b/>
      <sz val="17"/>
      <color rgb="FF15181F"/>
      <name val="맑은 고딕"/>
      <family val="2"/>
    </font>
    <font>
      <sz val="10"/>
      <color rgb="FF7A8290"/>
      <name val="맑은 고딕"/>
      <family val="2"/>
    </font>
    <font>
      <b/>
      <sz val="10"/>
      <color rgb="FF4A5160"/>
      <name val="맑은 고딕"/>
      <family val="2"/>
    </font>
    <font>
      <b/>
      <sz val="12"/>
      <color rgb="FF6E4B0F"/>
      <name val="Consolas"/>
      <family val="2"/>
    </font>
    <font>
      <sz val="11"/>
      <color rgb="FF18624A"/>
      <name val="Consolas"/>
      <family val="2"/>
    </font>
    <font>
      <i/>
      <sz val="9"/>
      <color rgb="FF7A8290"/>
      <name val="맑은 고딕"/>
      <family val="2"/>
    </font>
    <font>
      <b/>
      <sz val="11"/>
      <color rgb="FF15181F"/>
      <name val="맑은 고딕"/>
      <family val="2"/>
    </font>
    <font>
      <sz val="8.5"/>
      <color rgb="FF7A8290"/>
      <name val="맑은 고딕"/>
      <family val="2"/>
    </font>
    <font>
      <sz val="11"/>
      <color rgb="FF7A8290"/>
      <name val="Consolas"/>
      <family val="2"/>
    </font>
    <font>
      <b/>
      <sz val="11"/>
      <color rgb="FF18624A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rgb="FFEFF1F5"/>
        <bgColor indexed="64"/>
      </patternFill>
    </fill>
    <fill>
      <patternFill patternType="solid">
        <fgColor rgb="FFF6E7C7"/>
        <bgColor indexed="64"/>
      </patternFill>
    </fill>
    <fill>
      <patternFill patternType="solid">
        <fgColor rgb="FFDCEFE7"/>
        <bgColor indexed="64"/>
      </patternFill>
    </fill>
  </fills>
  <borders count="4">
    <border>
      <left/>
      <right/>
      <top/>
      <bottom/>
      <diagonal/>
    </border>
    <border>
      <left style="thin">
        <color rgb="FFD5DAE2"/>
      </left>
      <right style="thin">
        <color rgb="FFD5DAE2"/>
      </right>
      <top style="thin">
        <color rgb="FFD5DAE2"/>
      </top>
      <bottom style="thin">
        <color rgb="FFD5DAE2"/>
      </bottom>
      <diagonal/>
    </border>
    <border>
      <left style="thin">
        <color rgb="FFD9BC7E"/>
      </left>
      <right style="thin">
        <color rgb="FFD9BC7E"/>
      </right>
      <top style="thin">
        <color rgb="FFD9BC7E"/>
      </top>
      <bottom style="thin">
        <color rgb="FFD9BC7E"/>
      </bottom>
      <diagonal/>
    </border>
    <border>
      <left style="thin">
        <color rgb="FF8AC5AE"/>
      </left>
      <right style="thin">
        <color rgb="FF8AC5AE"/>
      </right>
      <top style="thin">
        <color rgb="FF8AC5AE"/>
      </top>
      <bottom style="thin">
        <color rgb="FF8AC5A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right" vertical="center"/>
    </xf>
    <xf numFmtId="0" fontId="9" fillId="3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 indent="1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4" borderId="3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18624A"/>
      </font>
      <fill>
        <patternFill>
          <bgColor rgb="FFDCEFE7"/>
        </patternFill>
      </fill>
    </dxf>
    <dxf>
      <font>
        <b/>
        <color rgb="FF6E4B0F"/>
      </font>
      <fill>
        <patternFill>
          <bgColor rgb="FFF6E7C7"/>
        </patternFill>
      </fill>
      <border>
        <left style="thin">
          <color rgb="FFD9BC7E"/>
        </left>
        <right style="thin">
          <color rgb="FFD9BC7E"/>
        </right>
        <top style="thin">
          <color rgb="FFD9BC7E"/>
        </top>
        <bottom style="thin">
          <color rgb="FFD9BC7E"/>
        </bottom>
        <vertical/>
        <horizontal/>
      </border>
    </dxf>
    <dxf>
      <font>
        <b/>
        <color rgb="FF18624A"/>
      </font>
      <fill>
        <patternFill>
          <bgColor rgb="FFDCEFE7"/>
        </patternFill>
      </fill>
      <border>
        <left style="thin">
          <color rgb="FF8AC5AE"/>
        </left>
        <right style="thin">
          <color rgb="FF8AC5AE"/>
        </right>
        <top style="thin">
          <color rgb="FF8AC5AE"/>
        </top>
        <bottom style="thin">
          <color rgb="FF8AC5AE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D1" s="1" t="s">
        <v>2</v>
      </c>
      <c r="E1" s="1" t="s">
        <v>4</v>
      </c>
      <c r="F1" s="1" t="s">
        <v>6</v>
      </c>
      <c r="G1" s="1" t="s">
        <v>8</v>
      </c>
      <c r="H1" s="1" t="s">
        <v>10</v>
      </c>
    </row>
    <row r="2" spans="1:8">
      <c r="A2" t="s">
        <v>2</v>
      </c>
      <c r="B2" t="s">
        <v>3</v>
      </c>
      <c r="D2" t="s">
        <v>12</v>
      </c>
      <c r="E2" t="s">
        <v>23</v>
      </c>
      <c r="F2" t="s">
        <v>28</v>
      </c>
      <c r="G2" t="s">
        <v>33</v>
      </c>
      <c r="H2" t="s">
        <v>16</v>
      </c>
    </row>
    <row r="3" spans="1:8">
      <c r="A3" t="s">
        <v>4</v>
      </c>
      <c r="B3" t="s">
        <v>5</v>
      </c>
      <c r="D3" t="s">
        <v>13</v>
      </c>
      <c r="E3" t="s">
        <v>24</v>
      </c>
      <c r="F3" t="s">
        <v>32</v>
      </c>
      <c r="G3" t="s">
        <v>38</v>
      </c>
      <c r="H3" t="s">
        <v>42</v>
      </c>
    </row>
    <row r="4" spans="1:8">
      <c r="A4" t="s">
        <v>6</v>
      </c>
      <c r="B4" t="s">
        <v>7</v>
      </c>
      <c r="D4" t="s">
        <v>14</v>
      </c>
      <c r="E4" t="s">
        <v>25</v>
      </c>
      <c r="F4" t="s">
        <v>33</v>
      </c>
      <c r="G4" t="s">
        <v>35</v>
      </c>
      <c r="H4" t="s">
        <v>19</v>
      </c>
    </row>
    <row r="5" spans="1:8">
      <c r="A5" t="s">
        <v>8</v>
      </c>
      <c r="B5" t="s">
        <v>9</v>
      </c>
      <c r="D5" t="s">
        <v>15</v>
      </c>
      <c r="E5" t="s">
        <v>26</v>
      </c>
      <c r="F5" t="s">
        <v>34</v>
      </c>
      <c r="G5" t="s">
        <v>39</v>
      </c>
      <c r="H5" t="s">
        <v>20</v>
      </c>
    </row>
    <row r="6" spans="1:8">
      <c r="A6" t="s">
        <v>10</v>
      </c>
      <c r="B6" t="s">
        <v>11</v>
      </c>
      <c r="D6" t="s">
        <v>16</v>
      </c>
      <c r="E6" t="s">
        <v>27</v>
      </c>
      <c r="F6" t="s">
        <v>35</v>
      </c>
      <c r="G6" t="s">
        <v>40</v>
      </c>
      <c r="H6" t="s">
        <v>43</v>
      </c>
    </row>
    <row r="7" spans="1:8">
      <c r="D7" t="s">
        <v>17</v>
      </c>
      <c r="E7" t="s">
        <v>28</v>
      </c>
      <c r="F7" t="s">
        <v>36</v>
      </c>
      <c r="G7" t="s">
        <v>41</v>
      </c>
      <c r="H7" t="s">
        <v>22</v>
      </c>
    </row>
    <row r="8" spans="1:8">
      <c r="D8" t="s">
        <v>18</v>
      </c>
      <c r="E8" t="s">
        <v>29</v>
      </c>
      <c r="F8" t="s">
        <v>37</v>
      </c>
      <c r="H8" t="s">
        <v>44</v>
      </c>
    </row>
    <row r="9" spans="1:8">
      <c r="D9" t="s">
        <v>19</v>
      </c>
      <c r="E9" t="s">
        <v>30</v>
      </c>
      <c r="H9" t="s">
        <v>45</v>
      </c>
    </row>
    <row r="10" spans="1:8">
      <c r="D10" t="s">
        <v>20</v>
      </c>
      <c r="E10" t="s">
        <v>31</v>
      </c>
      <c r="H10" t="s">
        <v>46</v>
      </c>
    </row>
    <row r="11" spans="1:8">
      <c r="D11" t="s">
        <v>21</v>
      </c>
    </row>
    <row r="12" spans="1:8">
      <c r="D1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5.7109375" customWidth="1"/>
    <col min="3" max="3" width="10.7109375" customWidth="1"/>
    <col min="4" max="4" width="52.7109375" customWidth="1"/>
    <col min="5" max="5" width="8.7109375" customWidth="1"/>
  </cols>
  <sheetData>
    <row r="1" spans="1:5">
      <c r="A1" s="1" t="s">
        <v>47</v>
      </c>
      <c r="B1" s="1" t="s">
        <v>0</v>
      </c>
      <c r="C1" s="1" t="s">
        <v>48</v>
      </c>
      <c r="D1" s="1" t="s">
        <v>49</v>
      </c>
      <c r="E1" s="1" t="s">
        <v>50</v>
      </c>
    </row>
    <row r="2" spans="1:5">
      <c r="A2" s="2" t="s">
        <v>51</v>
      </c>
      <c r="B2" s="3" t="s">
        <v>2</v>
      </c>
      <c r="C2" s="4" t="s">
        <v>12</v>
      </c>
      <c r="D2" s="5" t="s">
        <v>52</v>
      </c>
      <c r="E2" s="4">
        <f>IF(COUNTIFS($A$2:$A$45,$A2,$B$2:$B$45,호환매트릭스!$C$5,$C$2:$C$45,호환매트릭스!$C$6)&gt;0,1,0)</f>
        <v>0</v>
      </c>
    </row>
    <row r="3" spans="1:5">
      <c r="A3" s="2" t="s">
        <v>51</v>
      </c>
      <c r="B3" s="3" t="s">
        <v>4</v>
      </c>
      <c r="C3" s="4" t="s">
        <v>23</v>
      </c>
      <c r="D3" s="5" t="s">
        <v>52</v>
      </c>
      <c r="E3" s="4">
        <f>IF(COUNTIFS($A$2:$A$45,$A3,$B$2:$B$45,호환매트릭스!$C$5,$C$2:$C$45,호환매트릭스!$C$6)&gt;0,1,0)</f>
        <v>0</v>
      </c>
    </row>
    <row r="4" spans="1:5">
      <c r="A4" s="2" t="s">
        <v>51</v>
      </c>
      <c r="B4" s="3" t="s">
        <v>6</v>
      </c>
      <c r="C4" s="4" t="s">
        <v>28</v>
      </c>
      <c r="D4" s="5" t="s">
        <v>52</v>
      </c>
      <c r="E4" s="4">
        <f>IF(COUNTIFS($A$2:$A$45,$A4,$B$2:$B$45,호환매트릭스!$C$5,$C$2:$C$45,호환매트릭스!$C$6)&gt;0,1,0)</f>
        <v>0</v>
      </c>
    </row>
    <row r="5" spans="1:5">
      <c r="A5" s="2" t="s">
        <v>51</v>
      </c>
      <c r="B5" s="3" t="s">
        <v>8</v>
      </c>
      <c r="C5" s="4" t="s">
        <v>33</v>
      </c>
      <c r="D5" s="5" t="s">
        <v>52</v>
      </c>
      <c r="E5" s="4">
        <f>IF(COUNTIFS($A$2:$A$45,$A5,$B$2:$B$45,호환매트릭스!$C$5,$C$2:$C$45,호환매트릭스!$C$6)&gt;0,1,0)</f>
        <v>0</v>
      </c>
    </row>
    <row r="6" spans="1:5">
      <c r="A6" s="2" t="s">
        <v>51</v>
      </c>
      <c r="B6" s="3" t="s">
        <v>10</v>
      </c>
      <c r="C6" s="4" t="s">
        <v>16</v>
      </c>
      <c r="D6" s="5" t="s">
        <v>52</v>
      </c>
      <c r="E6" s="4">
        <f>IF(COUNTIFS($A$2:$A$45,$A6,$B$2:$B$45,호환매트릭스!$C$5,$C$2:$C$45,호환매트릭스!$C$6)&gt;0,1,0)</f>
        <v>0</v>
      </c>
    </row>
    <row r="7" spans="1:5">
      <c r="A7" s="2" t="s">
        <v>53</v>
      </c>
      <c r="B7" s="3" t="s">
        <v>2</v>
      </c>
      <c r="C7" s="4" t="s">
        <v>13</v>
      </c>
      <c r="D7" s="5" t="s">
        <v>52</v>
      </c>
      <c r="E7" s="4">
        <f>IF(COUNTIFS($A$2:$A$45,$A7,$B$2:$B$45,호환매트릭스!$C$5,$C$2:$C$45,호환매트릭스!$C$6)&gt;0,1,0)</f>
        <v>0</v>
      </c>
    </row>
    <row r="8" spans="1:5">
      <c r="A8" s="2" t="s">
        <v>53</v>
      </c>
      <c r="B8" s="3" t="s">
        <v>2</v>
      </c>
      <c r="C8" s="4" t="s">
        <v>14</v>
      </c>
      <c r="D8" s="5" t="s">
        <v>52</v>
      </c>
      <c r="E8" s="4">
        <f>IF(COUNTIFS($A$2:$A$45,$A8,$B$2:$B$45,호환매트릭스!$C$5,$C$2:$C$45,호환매트릭스!$C$6)&gt;0,1,0)</f>
        <v>0</v>
      </c>
    </row>
    <row r="9" spans="1:5">
      <c r="A9" s="2" t="s">
        <v>53</v>
      </c>
      <c r="B9" s="3" t="s">
        <v>4</v>
      </c>
      <c r="C9" s="4" t="s">
        <v>24</v>
      </c>
      <c r="D9" s="5" t="s">
        <v>52</v>
      </c>
      <c r="E9" s="4">
        <f>IF(COUNTIFS($A$2:$A$45,$A9,$B$2:$B$45,호환매트릭스!$C$5,$C$2:$C$45,호환매트릭스!$C$6)&gt;0,1,0)</f>
        <v>0</v>
      </c>
    </row>
    <row r="10" spans="1:5">
      <c r="A10" s="2" t="s">
        <v>53</v>
      </c>
      <c r="B10" s="3" t="s">
        <v>4</v>
      </c>
      <c r="C10" s="4" t="s">
        <v>25</v>
      </c>
      <c r="D10" s="5" t="s">
        <v>52</v>
      </c>
      <c r="E10" s="4">
        <f>IF(COUNTIFS($A$2:$A$45,$A10,$B$2:$B$45,호환매트릭스!$C$5,$C$2:$C$45,호환매트릭스!$C$6)&gt;0,1,0)</f>
        <v>0</v>
      </c>
    </row>
    <row r="11" spans="1:5">
      <c r="A11" s="2" t="s">
        <v>53</v>
      </c>
      <c r="B11" s="3" t="s">
        <v>6</v>
      </c>
      <c r="C11" s="4" t="s">
        <v>32</v>
      </c>
      <c r="D11" s="5" t="s">
        <v>54</v>
      </c>
      <c r="E11" s="4">
        <f>IF(COUNTIFS($A$2:$A$45,$A11,$B$2:$B$45,호환매트릭스!$C$5,$C$2:$C$45,호환매트릭스!$C$6)&gt;0,1,0)</f>
        <v>0</v>
      </c>
    </row>
    <row r="12" spans="1:5">
      <c r="A12" s="2" t="s">
        <v>53</v>
      </c>
      <c r="B12" s="3" t="s">
        <v>8</v>
      </c>
      <c r="C12" s="4" t="s">
        <v>38</v>
      </c>
      <c r="D12" s="5" t="s">
        <v>52</v>
      </c>
      <c r="E12" s="4">
        <f>IF(COUNTIFS($A$2:$A$45,$A12,$B$2:$B$45,호환매트릭스!$C$5,$C$2:$C$45,호환매트릭스!$C$6)&gt;0,1,0)</f>
        <v>0</v>
      </c>
    </row>
    <row r="13" spans="1:5">
      <c r="A13" s="2" t="s">
        <v>53</v>
      </c>
      <c r="B13" s="3" t="s">
        <v>10</v>
      </c>
      <c r="C13" s="4" t="s">
        <v>42</v>
      </c>
      <c r="D13" s="5" t="s">
        <v>52</v>
      </c>
      <c r="E13" s="4">
        <f>IF(COUNTIFS($A$2:$A$45,$A13,$B$2:$B$45,호환매트릭스!$C$5,$C$2:$C$45,호환매트릭스!$C$6)&gt;0,1,0)</f>
        <v>0</v>
      </c>
    </row>
    <row r="14" spans="1:5">
      <c r="A14" s="2" t="s">
        <v>53</v>
      </c>
      <c r="B14" s="3" t="s">
        <v>10</v>
      </c>
      <c r="C14" s="4" t="s">
        <v>19</v>
      </c>
      <c r="D14" s="5" t="s">
        <v>52</v>
      </c>
      <c r="E14" s="4">
        <f>IF(COUNTIFS($A$2:$A$45,$A14,$B$2:$B$45,호환매트릭스!$C$5,$C$2:$C$45,호환매트릭스!$C$6)&gt;0,1,0)</f>
        <v>0</v>
      </c>
    </row>
    <row r="15" spans="1:5">
      <c r="A15" s="2" t="s">
        <v>55</v>
      </c>
      <c r="B15" s="3" t="s">
        <v>2</v>
      </c>
      <c r="C15" s="4" t="s">
        <v>15</v>
      </c>
      <c r="D15" s="5" t="s">
        <v>52</v>
      </c>
      <c r="E15" s="4">
        <f>IF(COUNTIFS($A$2:$A$45,$A15,$B$2:$B$45,호환매트릭스!$C$5,$C$2:$C$45,호환매트릭스!$C$6)&gt;0,1,0)</f>
        <v>0</v>
      </c>
    </row>
    <row r="16" spans="1:5">
      <c r="A16" s="2" t="s">
        <v>55</v>
      </c>
      <c r="B16" s="3" t="s">
        <v>2</v>
      </c>
      <c r="C16" s="4" t="s">
        <v>16</v>
      </c>
      <c r="D16" s="5" t="s">
        <v>52</v>
      </c>
      <c r="E16" s="4">
        <f>IF(COUNTIFS($A$2:$A$45,$A16,$B$2:$B$45,호환매트릭스!$C$5,$C$2:$C$45,호환매트릭스!$C$6)&gt;0,1,0)</f>
        <v>0</v>
      </c>
    </row>
    <row r="17" spans="1:5">
      <c r="A17" s="2" t="s">
        <v>55</v>
      </c>
      <c r="B17" s="3" t="s">
        <v>2</v>
      </c>
      <c r="C17" s="4" t="s">
        <v>17</v>
      </c>
      <c r="D17" s="5" t="s">
        <v>52</v>
      </c>
      <c r="E17" s="4">
        <f>IF(COUNTIFS($A$2:$A$45,$A17,$B$2:$B$45,호환매트릭스!$C$5,$C$2:$C$45,호환매트릭스!$C$6)&gt;0,1,0)</f>
        <v>0</v>
      </c>
    </row>
    <row r="18" spans="1:5">
      <c r="A18" s="2" t="s">
        <v>55</v>
      </c>
      <c r="B18" s="3" t="s">
        <v>4</v>
      </c>
      <c r="C18" s="4" t="s">
        <v>26</v>
      </c>
      <c r="D18" s="5" t="s">
        <v>52</v>
      </c>
      <c r="E18" s="4">
        <f>IF(COUNTIFS($A$2:$A$45,$A18,$B$2:$B$45,호환매트릭스!$C$5,$C$2:$C$45,호환매트릭스!$C$6)&gt;0,1,0)</f>
        <v>0</v>
      </c>
    </row>
    <row r="19" spans="1:5">
      <c r="A19" s="2" t="s">
        <v>55</v>
      </c>
      <c r="B19" s="3" t="s">
        <v>6</v>
      </c>
      <c r="C19" s="4" t="s">
        <v>33</v>
      </c>
      <c r="D19" s="5" t="s">
        <v>52</v>
      </c>
      <c r="E19" s="4">
        <f>IF(COUNTIFS($A$2:$A$45,$A19,$B$2:$B$45,호환매트릭스!$C$5,$C$2:$C$45,호환매트릭스!$C$6)&gt;0,1,0)</f>
        <v>0</v>
      </c>
    </row>
    <row r="20" spans="1:5">
      <c r="A20" s="2" t="s">
        <v>55</v>
      </c>
      <c r="B20" s="3" t="s">
        <v>8</v>
      </c>
      <c r="C20" s="4" t="s">
        <v>35</v>
      </c>
      <c r="D20" s="5" t="s">
        <v>56</v>
      </c>
      <c r="E20" s="4">
        <f>IF(COUNTIFS($A$2:$A$45,$A20,$B$2:$B$45,호환매트릭스!$C$5,$C$2:$C$45,호환매트릭스!$C$6)&gt;0,1,0)</f>
        <v>0</v>
      </c>
    </row>
    <row r="21" spans="1:5">
      <c r="A21" s="2" t="s">
        <v>55</v>
      </c>
      <c r="B21" s="3" t="s">
        <v>10</v>
      </c>
      <c r="C21" s="4" t="s">
        <v>20</v>
      </c>
      <c r="D21" s="5" t="s">
        <v>52</v>
      </c>
      <c r="E21" s="4">
        <f>IF(COUNTIFS($A$2:$A$45,$A21,$B$2:$B$45,호환매트릭스!$C$5,$C$2:$C$45,호환매트릭스!$C$6)&gt;0,1,0)</f>
        <v>0</v>
      </c>
    </row>
    <row r="22" spans="1:5">
      <c r="A22" s="2" t="s">
        <v>55</v>
      </c>
      <c r="B22" s="3" t="s">
        <v>10</v>
      </c>
      <c r="C22" s="4" t="s">
        <v>43</v>
      </c>
      <c r="D22" s="5" t="s">
        <v>52</v>
      </c>
      <c r="E22" s="4">
        <f>IF(COUNTIFS($A$2:$A$45,$A22,$B$2:$B$45,호환매트릭스!$C$5,$C$2:$C$45,호환매트릭스!$C$6)&gt;0,1,0)</f>
        <v>0</v>
      </c>
    </row>
    <row r="23" spans="1:5">
      <c r="A23" s="2" t="s">
        <v>57</v>
      </c>
      <c r="B23" s="3" t="s">
        <v>2</v>
      </c>
      <c r="C23" s="4" t="s">
        <v>17</v>
      </c>
      <c r="D23" s="5" t="s">
        <v>52</v>
      </c>
      <c r="E23" s="4">
        <f>IF(COUNTIFS($A$2:$A$45,$A23,$B$2:$B$45,호환매트릭스!$C$5,$C$2:$C$45,호환매트릭스!$C$6)&gt;0,1,0)</f>
        <v>0</v>
      </c>
    </row>
    <row r="24" spans="1:5">
      <c r="A24" s="2" t="s">
        <v>57</v>
      </c>
      <c r="B24" s="3" t="s">
        <v>2</v>
      </c>
      <c r="C24" s="4" t="s">
        <v>18</v>
      </c>
      <c r="D24" s="5" t="s">
        <v>52</v>
      </c>
      <c r="E24" s="4">
        <f>IF(COUNTIFS($A$2:$A$45,$A24,$B$2:$B$45,호환매트릭스!$C$5,$C$2:$C$45,호환매트릭스!$C$6)&gt;0,1,0)</f>
        <v>0</v>
      </c>
    </row>
    <row r="25" spans="1:5">
      <c r="A25" s="2" t="s">
        <v>57</v>
      </c>
      <c r="B25" s="3" t="s">
        <v>2</v>
      </c>
      <c r="C25" s="4" t="s">
        <v>19</v>
      </c>
      <c r="D25" s="5" t="s">
        <v>52</v>
      </c>
      <c r="E25" s="4">
        <f>IF(COUNTIFS($A$2:$A$45,$A25,$B$2:$B$45,호환매트릭스!$C$5,$C$2:$C$45,호환매트릭스!$C$6)&gt;0,1,0)</f>
        <v>0</v>
      </c>
    </row>
    <row r="26" spans="1:5">
      <c r="A26" s="2" t="s">
        <v>57</v>
      </c>
      <c r="B26" s="3" t="s">
        <v>4</v>
      </c>
      <c r="C26" s="4" t="s">
        <v>27</v>
      </c>
      <c r="D26" s="5" t="s">
        <v>52</v>
      </c>
      <c r="E26" s="4">
        <f>IF(COUNTIFS($A$2:$A$45,$A26,$B$2:$B$45,호환매트릭스!$C$5,$C$2:$C$45,호환매트릭스!$C$6)&gt;0,1,0)</f>
        <v>0</v>
      </c>
    </row>
    <row r="27" spans="1:5">
      <c r="A27" s="2" t="s">
        <v>57</v>
      </c>
      <c r="B27" s="3" t="s">
        <v>4</v>
      </c>
      <c r="C27" s="4" t="s">
        <v>28</v>
      </c>
      <c r="D27" s="5" t="s">
        <v>52</v>
      </c>
      <c r="E27" s="4">
        <f>IF(COUNTIFS($A$2:$A$45,$A27,$B$2:$B$45,호환매트릭스!$C$5,$C$2:$C$45,호환매트릭스!$C$6)&gt;0,1,0)</f>
        <v>0</v>
      </c>
    </row>
    <row r="28" spans="1:5">
      <c r="A28" s="2" t="s">
        <v>57</v>
      </c>
      <c r="B28" s="3" t="s">
        <v>6</v>
      </c>
      <c r="C28" s="4" t="s">
        <v>34</v>
      </c>
      <c r="D28" s="5" t="s">
        <v>52</v>
      </c>
      <c r="E28" s="4">
        <f>IF(COUNTIFS($A$2:$A$45,$A28,$B$2:$B$45,호환매트릭스!$C$5,$C$2:$C$45,호환매트릭스!$C$6)&gt;0,1,0)</f>
        <v>0</v>
      </c>
    </row>
    <row r="29" spans="1:5">
      <c r="A29" s="2" t="s">
        <v>57</v>
      </c>
      <c r="B29" s="3" t="s">
        <v>6</v>
      </c>
      <c r="C29" s="4" t="s">
        <v>35</v>
      </c>
      <c r="D29" s="5" t="s">
        <v>52</v>
      </c>
      <c r="E29" s="4">
        <f>IF(COUNTIFS($A$2:$A$45,$A29,$B$2:$B$45,호환매트릭스!$C$5,$C$2:$C$45,호환매트릭스!$C$6)&gt;0,1,0)</f>
        <v>0</v>
      </c>
    </row>
    <row r="30" spans="1:5">
      <c r="A30" s="2" t="s">
        <v>57</v>
      </c>
      <c r="B30" s="3" t="s">
        <v>8</v>
      </c>
      <c r="C30" s="4" t="s">
        <v>39</v>
      </c>
      <c r="D30" s="5" t="s">
        <v>52</v>
      </c>
      <c r="E30" s="4">
        <f>IF(COUNTIFS($A$2:$A$45,$A30,$B$2:$B$45,호환매트릭스!$C$5,$C$2:$C$45,호환매트릭스!$C$6)&gt;0,1,0)</f>
        <v>0</v>
      </c>
    </row>
    <row r="31" spans="1:5">
      <c r="A31" s="2" t="s">
        <v>57</v>
      </c>
      <c r="B31" s="3" t="s">
        <v>10</v>
      </c>
      <c r="C31" s="4" t="s">
        <v>43</v>
      </c>
      <c r="D31" s="5" t="s">
        <v>52</v>
      </c>
      <c r="E31" s="4">
        <f>IF(COUNTIFS($A$2:$A$45,$A31,$B$2:$B$45,호환매트릭스!$C$5,$C$2:$C$45,호환매트릭스!$C$6)&gt;0,1,0)</f>
        <v>0</v>
      </c>
    </row>
    <row r="32" spans="1:5">
      <c r="A32" s="2" t="s">
        <v>57</v>
      </c>
      <c r="B32" s="3" t="s">
        <v>10</v>
      </c>
      <c r="C32" s="4" t="s">
        <v>22</v>
      </c>
      <c r="D32" s="5" t="s">
        <v>52</v>
      </c>
      <c r="E32" s="4">
        <f>IF(COUNTIFS($A$2:$A$45,$A32,$B$2:$B$45,호환매트릭스!$C$5,$C$2:$C$45,호환매트릭스!$C$6)&gt;0,1,0)</f>
        <v>0</v>
      </c>
    </row>
    <row r="33" spans="1:5">
      <c r="A33" s="2" t="s">
        <v>58</v>
      </c>
      <c r="B33" s="3" t="s">
        <v>2</v>
      </c>
      <c r="C33" s="4" t="s">
        <v>20</v>
      </c>
      <c r="D33" s="5" t="s">
        <v>52</v>
      </c>
      <c r="E33" s="4">
        <f>IF(COUNTIFS($A$2:$A$45,$A33,$B$2:$B$45,호환매트릭스!$C$5,$C$2:$C$45,호환매트릭스!$C$6)&gt;0,1,0)</f>
        <v>0</v>
      </c>
    </row>
    <row r="34" spans="1:5">
      <c r="A34" s="2" t="s">
        <v>58</v>
      </c>
      <c r="B34" s="3" t="s">
        <v>4</v>
      </c>
      <c r="C34" s="4" t="s">
        <v>29</v>
      </c>
      <c r="D34" s="5" t="s">
        <v>52</v>
      </c>
      <c r="E34" s="4">
        <f>IF(COUNTIFS($A$2:$A$45,$A34,$B$2:$B$45,호환매트릭스!$C$5,$C$2:$C$45,호환매트릭스!$C$6)&gt;0,1,0)</f>
        <v>0</v>
      </c>
    </row>
    <row r="35" spans="1:5">
      <c r="A35" s="2" t="s">
        <v>58</v>
      </c>
      <c r="B35" s="3" t="s">
        <v>6</v>
      </c>
      <c r="C35" s="4" t="s">
        <v>36</v>
      </c>
      <c r="D35" s="5" t="s">
        <v>52</v>
      </c>
      <c r="E35" s="4">
        <f>IF(COUNTIFS($A$2:$A$45,$A35,$B$2:$B$45,호환매트릭스!$C$5,$C$2:$C$45,호환매트릭스!$C$6)&gt;0,1,0)</f>
        <v>0</v>
      </c>
    </row>
    <row r="36" spans="1:5">
      <c r="A36" s="2" t="s">
        <v>58</v>
      </c>
      <c r="B36" s="3" t="s">
        <v>8</v>
      </c>
      <c r="C36" s="4" t="s">
        <v>40</v>
      </c>
      <c r="D36" s="5" t="s">
        <v>52</v>
      </c>
      <c r="E36" s="4">
        <f>IF(COUNTIFS($A$2:$A$45,$A36,$B$2:$B$45,호환매트릭스!$C$5,$C$2:$C$45,호환매트릭스!$C$6)&gt;0,1,0)</f>
        <v>0</v>
      </c>
    </row>
    <row r="37" spans="1:5">
      <c r="A37" s="2" t="s">
        <v>58</v>
      </c>
      <c r="B37" s="3" t="s">
        <v>10</v>
      </c>
      <c r="C37" s="4" t="s">
        <v>44</v>
      </c>
      <c r="D37" s="5" t="s">
        <v>52</v>
      </c>
      <c r="E37" s="4">
        <f>IF(COUNTIFS($A$2:$A$45,$A37,$B$2:$B$45,호환매트릭스!$C$5,$C$2:$C$45,호환매트릭스!$C$6)&gt;0,1,0)</f>
        <v>0</v>
      </c>
    </row>
    <row r="38" spans="1:5">
      <c r="A38" s="2" t="s">
        <v>59</v>
      </c>
      <c r="B38" s="3" t="s">
        <v>2</v>
      </c>
      <c r="C38" s="4" t="s">
        <v>21</v>
      </c>
      <c r="D38" s="5" t="s">
        <v>52</v>
      </c>
      <c r="E38" s="4">
        <f>IF(COUNTIFS($A$2:$A$45,$A38,$B$2:$B$45,호환매트릭스!$C$5,$C$2:$C$45,호환매트릭스!$C$6)&gt;0,1,0)</f>
        <v>0</v>
      </c>
    </row>
    <row r="39" spans="1:5">
      <c r="A39" s="2" t="s">
        <v>59</v>
      </c>
      <c r="B39" s="3" t="s">
        <v>2</v>
      </c>
      <c r="C39" s="4" t="s">
        <v>22</v>
      </c>
      <c r="D39" s="5" t="s">
        <v>52</v>
      </c>
      <c r="E39" s="4">
        <f>IF(COUNTIFS($A$2:$A$45,$A39,$B$2:$B$45,호환매트릭스!$C$5,$C$2:$C$45,호환매트릭스!$C$6)&gt;0,1,0)</f>
        <v>0</v>
      </c>
    </row>
    <row r="40" spans="1:5">
      <c r="A40" s="2" t="s">
        <v>59</v>
      </c>
      <c r="B40" s="3" t="s">
        <v>4</v>
      </c>
      <c r="C40" s="4" t="s">
        <v>30</v>
      </c>
      <c r="D40" s="5" t="s">
        <v>52</v>
      </c>
      <c r="E40" s="4">
        <f>IF(COUNTIFS($A$2:$A$45,$A40,$B$2:$B$45,호환매트릭스!$C$5,$C$2:$C$45,호환매트릭스!$C$6)&gt;0,1,0)</f>
        <v>0</v>
      </c>
    </row>
    <row r="41" spans="1:5">
      <c r="A41" s="2" t="s">
        <v>59</v>
      </c>
      <c r="B41" s="3" t="s">
        <v>4</v>
      </c>
      <c r="C41" s="4" t="s">
        <v>31</v>
      </c>
      <c r="D41" s="5" t="s">
        <v>52</v>
      </c>
      <c r="E41" s="4">
        <f>IF(COUNTIFS($A$2:$A$45,$A41,$B$2:$B$45,호환매트릭스!$C$5,$C$2:$C$45,호환매트릭스!$C$6)&gt;0,1,0)</f>
        <v>0</v>
      </c>
    </row>
    <row r="42" spans="1:5">
      <c r="A42" s="2" t="s">
        <v>59</v>
      </c>
      <c r="B42" s="3" t="s">
        <v>6</v>
      </c>
      <c r="C42" s="4" t="s">
        <v>37</v>
      </c>
      <c r="D42" s="5" t="s">
        <v>52</v>
      </c>
      <c r="E42" s="4">
        <f>IF(COUNTIFS($A$2:$A$45,$A42,$B$2:$B$45,호환매트릭스!$C$5,$C$2:$C$45,호환매트릭스!$C$6)&gt;0,1,0)</f>
        <v>0</v>
      </c>
    </row>
    <row r="43" spans="1:5">
      <c r="A43" s="2" t="s">
        <v>59</v>
      </c>
      <c r="B43" s="3" t="s">
        <v>8</v>
      </c>
      <c r="C43" s="4" t="s">
        <v>41</v>
      </c>
      <c r="D43" s="5" t="s">
        <v>52</v>
      </c>
      <c r="E43" s="4">
        <f>IF(COUNTIFS($A$2:$A$45,$A43,$B$2:$B$45,호환매트릭스!$C$5,$C$2:$C$45,호환매트릭스!$C$6)&gt;0,1,0)</f>
        <v>0</v>
      </c>
    </row>
    <row r="44" spans="1:5">
      <c r="A44" s="2" t="s">
        <v>59</v>
      </c>
      <c r="B44" s="3" t="s">
        <v>10</v>
      </c>
      <c r="C44" s="4" t="s">
        <v>45</v>
      </c>
      <c r="D44" s="5" t="s">
        <v>52</v>
      </c>
      <c r="E44" s="4">
        <f>IF(COUNTIFS($A$2:$A$45,$A44,$B$2:$B$45,호환매트릭스!$C$5,$C$2:$C$45,호환매트릭스!$C$6)&gt;0,1,0)</f>
        <v>0</v>
      </c>
    </row>
    <row r="45" spans="1:5">
      <c r="A45" s="2" t="s">
        <v>59</v>
      </c>
      <c r="B45" s="3" t="s">
        <v>10</v>
      </c>
      <c r="C45" s="4" t="s">
        <v>46</v>
      </c>
      <c r="D45" s="5" t="s">
        <v>52</v>
      </c>
      <c r="E45" s="4">
        <f>IF(COUNTIFS($A$2:$A$45,$A45,$B$2:$B$45,호환매트릭스!$C$5,$C$2:$C$45,호환매트릭스!$C$6)&gt;0,1,0)</f>
        <v>0</v>
      </c>
    </row>
  </sheetData>
  <autoFilter ref="A1:E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K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2" max="2" width="13.7109375" customWidth="1"/>
    <col min="3" max="3" width="10.7109375" customWidth="1"/>
    <col min="4" max="5" width="11.7109375" customWidth="1"/>
    <col min="6" max="10" width="22.7109375" customWidth="1"/>
    <col min="11" max="11" width="10.7109375" customWidth="1"/>
  </cols>
  <sheetData>
    <row r="1" spans="2:11">
      <c r="B1" s="6" t="s">
        <v>60</v>
      </c>
    </row>
    <row r="2" spans="2:11" ht="30" customHeight="1">
      <c r="B2" s="1" t="s">
        <v>61</v>
      </c>
      <c r="C2" s="1" t="s">
        <v>62</v>
      </c>
      <c r="D2" s="1" t="s">
        <v>63</v>
      </c>
      <c r="E2" s="1" t="s">
        <v>64</v>
      </c>
      <c r="F2" s="1" t="s">
        <v>2</v>
      </c>
      <c r="G2" s="1" t="s">
        <v>4</v>
      </c>
      <c r="H2" s="1" t="s">
        <v>6</v>
      </c>
      <c r="I2" s="1" t="s">
        <v>8</v>
      </c>
      <c r="J2" s="1" t="s">
        <v>10</v>
      </c>
      <c r="K2" s="1" t="s">
        <v>65</v>
      </c>
    </row>
    <row r="3" spans="2:11">
      <c r="B3" s="2" t="s">
        <v>51</v>
      </c>
      <c r="C3" s="4" t="s">
        <v>66</v>
      </c>
      <c r="D3" s="4" t="s">
        <v>67</v>
      </c>
      <c r="E3" s="4" t="s">
        <v>68</v>
      </c>
      <c r="F3" s="3" t="s">
        <v>12</v>
      </c>
      <c r="G3" s="3" t="s">
        <v>23</v>
      </c>
      <c r="H3" s="3" t="s">
        <v>28</v>
      </c>
      <c r="I3" s="3" t="s">
        <v>33</v>
      </c>
      <c r="J3" s="3" t="s">
        <v>16</v>
      </c>
      <c r="K3" s="4">
        <f>IF(COUNTIFS(데이터!$A$2:$A$45,$B3,데이터!$B$2:$B$45,호환매트릭스!$C$5,데이터!$C$2:$C$45,호환매트릭스!$C$6)&gt;0,1,0)</f>
        <v>0</v>
      </c>
    </row>
    <row r="4" spans="2:11">
      <c r="B4" s="2" t="s">
        <v>53</v>
      </c>
      <c r="C4" s="4" t="s">
        <v>69</v>
      </c>
      <c r="D4" s="4" t="s">
        <v>70</v>
      </c>
      <c r="E4" s="4" t="s">
        <v>71</v>
      </c>
      <c r="F4" s="3" t="s">
        <v>72</v>
      </c>
      <c r="G4" s="3" t="s">
        <v>73</v>
      </c>
      <c r="H4" s="3" t="s">
        <v>32</v>
      </c>
      <c r="I4" s="3" t="s">
        <v>38</v>
      </c>
      <c r="J4" s="3" t="s">
        <v>74</v>
      </c>
      <c r="K4" s="4">
        <f>IF(COUNTIFS(데이터!$A$2:$A$45,$B4,데이터!$B$2:$B$45,호환매트릭스!$C$5,데이터!$C$2:$C$45,호환매트릭스!$C$6)&gt;0,1,0)</f>
        <v>0</v>
      </c>
    </row>
    <row r="5" spans="2:11">
      <c r="B5" s="2" t="s">
        <v>55</v>
      </c>
      <c r="C5" s="4" t="s">
        <v>75</v>
      </c>
      <c r="D5" s="4" t="s">
        <v>76</v>
      </c>
      <c r="E5" s="4" t="s">
        <v>67</v>
      </c>
      <c r="F5" s="3" t="s">
        <v>77</v>
      </c>
      <c r="G5" s="3" t="s">
        <v>26</v>
      </c>
      <c r="H5" s="3" t="s">
        <v>33</v>
      </c>
      <c r="I5" s="3" t="s">
        <v>35</v>
      </c>
      <c r="J5" s="3" t="s">
        <v>78</v>
      </c>
      <c r="K5" s="4">
        <f>IF(COUNTIFS(데이터!$A$2:$A$45,$B5,데이터!$B$2:$B$45,호환매트릭스!$C$5,데이터!$C$2:$C$45,호환매트릭스!$C$6)&gt;0,1,0)</f>
        <v>0</v>
      </c>
    </row>
    <row r="6" spans="2:11">
      <c r="B6" s="2" t="s">
        <v>57</v>
      </c>
      <c r="C6" s="4" t="s">
        <v>69</v>
      </c>
      <c r="D6" s="4" t="s">
        <v>79</v>
      </c>
      <c r="E6" s="4" t="s">
        <v>80</v>
      </c>
      <c r="F6" s="3" t="s">
        <v>81</v>
      </c>
      <c r="G6" s="3" t="s">
        <v>82</v>
      </c>
      <c r="H6" s="3" t="s">
        <v>83</v>
      </c>
      <c r="I6" s="3" t="s">
        <v>39</v>
      </c>
      <c r="J6" s="3" t="s">
        <v>84</v>
      </c>
      <c r="K6" s="4">
        <f>IF(COUNTIFS(데이터!$A$2:$A$45,$B6,데이터!$B$2:$B$45,호환매트릭스!$C$5,데이터!$C$2:$C$45,호환매트릭스!$C$6)&gt;0,1,0)</f>
        <v>0</v>
      </c>
    </row>
    <row r="7" spans="2:11">
      <c r="B7" s="2" t="s">
        <v>58</v>
      </c>
      <c r="C7" s="4" t="s">
        <v>85</v>
      </c>
      <c r="D7" s="4" t="s">
        <v>86</v>
      </c>
      <c r="E7" s="4" t="s">
        <v>76</v>
      </c>
      <c r="F7" s="3" t="s">
        <v>20</v>
      </c>
      <c r="G7" s="3" t="s">
        <v>29</v>
      </c>
      <c r="H7" s="3" t="s">
        <v>36</v>
      </c>
      <c r="I7" s="3" t="s">
        <v>40</v>
      </c>
      <c r="J7" s="3" t="s">
        <v>44</v>
      </c>
      <c r="K7" s="4">
        <f>IF(COUNTIFS(데이터!$A$2:$A$45,$B7,데이터!$B$2:$B$45,호환매트릭스!$C$5,데이터!$C$2:$C$45,호환매트릭스!$C$6)&gt;0,1,0)</f>
        <v>0</v>
      </c>
    </row>
    <row r="8" spans="2:11">
      <c r="B8" s="2" t="s">
        <v>59</v>
      </c>
      <c r="C8" s="4" t="s">
        <v>85</v>
      </c>
      <c r="D8" s="4" t="s">
        <v>87</v>
      </c>
      <c r="E8" s="4" t="s">
        <v>70</v>
      </c>
      <c r="F8" s="3" t="s">
        <v>88</v>
      </c>
      <c r="G8" s="3" t="s">
        <v>89</v>
      </c>
      <c r="H8" s="3" t="s">
        <v>37</v>
      </c>
      <c r="I8" s="3" t="s">
        <v>41</v>
      </c>
      <c r="J8" s="3" t="s">
        <v>90</v>
      </c>
      <c r="K8" s="4">
        <f>IF(COUNTIFS(데이터!$A$2:$A$45,$B8,데이터!$B$2:$B$45,호환매트릭스!$C$5,데이터!$C$2:$C$45,호환매트릭스!$C$6)&gt;0,1,0)</f>
        <v>0</v>
      </c>
    </row>
  </sheetData>
  <conditionalFormatting sqref="B3:K8">
    <cfRule type="expression" dxfId="0" priority="1">
      <formula>$K3=1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M25"/>
  <sheetViews>
    <sheetView showGridLines="0" tabSelected="1" workbookViewId="0">
      <pane ySplit="11" topLeftCell="A12" activePane="bottomLeft" state="frozen"/>
      <selection pane="bottomLeft"/>
    </sheetView>
  </sheetViews>
  <sheetFormatPr defaultRowHeight="15"/>
  <cols>
    <col min="1" max="1" width="3.7109375" customWidth="1"/>
    <col min="2" max="7" width="16.7109375" customWidth="1"/>
    <col min="13" max="13" width="2.7109375" customWidth="1"/>
  </cols>
  <sheetData>
    <row r="1" spans="2:13">
      <c r="M1" t="str">
        <f>VLOOKUP($C$5,목록!$A:$B,2,0)</f>
        <v>v_p1</v>
      </c>
    </row>
    <row r="2" spans="2:13">
      <c r="B2" s="7" t="s">
        <v>91</v>
      </c>
    </row>
    <row r="3" spans="2:13" ht="30" customHeight="1">
      <c r="B3" s="8" t="s">
        <v>92</v>
      </c>
      <c r="C3" s="8"/>
      <c r="D3" s="8"/>
      <c r="E3" s="8"/>
      <c r="F3" s="8"/>
      <c r="G3" s="8"/>
    </row>
    <row r="5" spans="2:13">
      <c r="B5" s="9" t="s">
        <v>0</v>
      </c>
      <c r="C5" s="10" t="s">
        <v>2</v>
      </c>
    </row>
    <row r="6" spans="2:13">
      <c r="B6" s="9" t="s">
        <v>48</v>
      </c>
      <c r="C6" s="10" t="s">
        <v>12</v>
      </c>
    </row>
    <row r="7" spans="2:13">
      <c r="B7" s="9" t="s">
        <v>93</v>
      </c>
      <c r="C7" s="11">
        <f>TRIM(IF(릴리스세트!$K3=1,릴리스세트!$B3&amp;"   ","")&amp;IF(릴리스세트!$K4=1,릴리스세트!$B4&amp;"   ","")&amp;IF(릴리스세트!$K5=1,릴리스세트!$B5&amp;"   ","")&amp;IF(릴리스세트!$K6=1,릴리스세트!$B6&amp;"   ","")&amp;IF(릴리스세트!$K7=1,릴리스세트!$B7&amp;"   ","")&amp;IF(릴리스세트!$K8=1,릴리스세트!$B8&amp;"   ",""))</f>
        <v/>
      </c>
      <c r="D7" s="11"/>
      <c r="E7" s="11"/>
      <c r="F7" s="11"/>
      <c r="G7" s="11"/>
    </row>
    <row r="8" spans="2:13">
      <c r="C8" s="12" t="s">
        <v>94</v>
      </c>
    </row>
    <row r="10" spans="2:13" ht="22" customHeight="1">
      <c r="B10" s="13" t="s">
        <v>2</v>
      </c>
      <c r="C10" s="13" t="s">
        <v>4</v>
      </c>
      <c r="D10" s="13" t="s">
        <v>6</v>
      </c>
      <c r="E10" s="13" t="s">
        <v>8</v>
      </c>
      <c r="F10" s="13" t="s">
        <v>10</v>
      </c>
    </row>
    <row r="11" spans="2:13" ht="26" customHeight="1">
      <c r="B11" s="14" t="s">
        <v>95</v>
      </c>
      <c r="C11" s="14" t="s">
        <v>96</v>
      </c>
      <c r="D11" s="14" t="s">
        <v>97</v>
      </c>
      <c r="E11" s="14" t="s">
        <v>98</v>
      </c>
      <c r="F11" s="14" t="s">
        <v>99</v>
      </c>
    </row>
    <row r="12" spans="2:13">
      <c r="B12" s="15" t="s">
        <v>12</v>
      </c>
      <c r="C12" s="15" t="s">
        <v>23</v>
      </c>
      <c r="D12" s="15" t="s">
        <v>28</v>
      </c>
      <c r="E12" s="15" t="s">
        <v>33</v>
      </c>
      <c r="F12" s="15" t="s">
        <v>16</v>
      </c>
    </row>
    <row r="13" spans="2:13">
      <c r="B13" s="15" t="s">
        <v>13</v>
      </c>
      <c r="C13" s="15" t="s">
        <v>24</v>
      </c>
      <c r="D13" s="15" t="s">
        <v>32</v>
      </c>
      <c r="E13" s="15" t="s">
        <v>38</v>
      </c>
      <c r="F13" s="15" t="s">
        <v>42</v>
      </c>
    </row>
    <row r="14" spans="2:13">
      <c r="B14" s="15" t="s">
        <v>14</v>
      </c>
      <c r="C14" s="15" t="s">
        <v>25</v>
      </c>
      <c r="D14" s="15" t="s">
        <v>33</v>
      </c>
      <c r="E14" s="15" t="s">
        <v>35</v>
      </c>
      <c r="F14" s="15" t="s">
        <v>19</v>
      </c>
    </row>
    <row r="15" spans="2:13">
      <c r="B15" s="15" t="s">
        <v>15</v>
      </c>
      <c r="C15" s="15" t="s">
        <v>26</v>
      </c>
      <c r="D15" s="15" t="s">
        <v>34</v>
      </c>
      <c r="E15" s="15" t="s">
        <v>39</v>
      </c>
      <c r="F15" s="15" t="s">
        <v>20</v>
      </c>
    </row>
    <row r="16" spans="2:13">
      <c r="B16" s="15" t="s">
        <v>16</v>
      </c>
      <c r="C16" s="15" t="s">
        <v>27</v>
      </c>
      <c r="D16" s="15" t="s">
        <v>35</v>
      </c>
      <c r="E16" s="15" t="s">
        <v>40</v>
      </c>
      <c r="F16" s="15" t="s">
        <v>43</v>
      </c>
    </row>
    <row r="17" spans="2:6">
      <c r="B17" s="15" t="s">
        <v>17</v>
      </c>
      <c r="C17" s="15" t="s">
        <v>28</v>
      </c>
      <c r="D17" s="15" t="s">
        <v>36</v>
      </c>
      <c r="E17" s="15" t="s">
        <v>41</v>
      </c>
      <c r="F17" s="15" t="s">
        <v>22</v>
      </c>
    </row>
    <row r="18" spans="2:6">
      <c r="B18" s="15" t="s">
        <v>18</v>
      </c>
      <c r="C18" s="15" t="s">
        <v>29</v>
      </c>
      <c r="D18" s="15" t="s">
        <v>37</v>
      </c>
      <c r="E18" s="15" t="s">
        <v>52</v>
      </c>
      <c r="F18" s="15" t="s">
        <v>44</v>
      </c>
    </row>
    <row r="19" spans="2:6">
      <c r="B19" s="15" t="s">
        <v>19</v>
      </c>
      <c r="C19" s="15" t="s">
        <v>30</v>
      </c>
      <c r="D19" s="15" t="s">
        <v>52</v>
      </c>
      <c r="E19" s="15" t="s">
        <v>52</v>
      </c>
      <c r="F19" s="15" t="s">
        <v>45</v>
      </c>
    </row>
    <row r="20" spans="2:6">
      <c r="B20" s="15" t="s">
        <v>20</v>
      </c>
      <c r="C20" s="15" t="s">
        <v>31</v>
      </c>
      <c r="D20" s="15" t="s">
        <v>52</v>
      </c>
      <c r="E20" s="15" t="s">
        <v>52</v>
      </c>
      <c r="F20" s="15" t="s">
        <v>46</v>
      </c>
    </row>
    <row r="21" spans="2:6">
      <c r="B21" s="15" t="s">
        <v>21</v>
      </c>
      <c r="C21" s="15" t="s">
        <v>52</v>
      </c>
      <c r="D21" s="15" t="s">
        <v>52</v>
      </c>
      <c r="E21" s="15" t="s">
        <v>52</v>
      </c>
      <c r="F21" s="15" t="s">
        <v>52</v>
      </c>
    </row>
    <row r="22" spans="2:6">
      <c r="B22" s="15" t="s">
        <v>22</v>
      </c>
      <c r="C22" s="15" t="s">
        <v>52</v>
      </c>
      <c r="D22" s="15" t="s">
        <v>52</v>
      </c>
      <c r="E22" s="15" t="s">
        <v>52</v>
      </c>
      <c r="F22" s="15" t="s">
        <v>52</v>
      </c>
    </row>
    <row r="24" spans="2:6">
      <c r="B24" s="9" t="s">
        <v>100</v>
      </c>
      <c r="C24" s="10" t="s">
        <v>101</v>
      </c>
      <c r="D24" s="16" t="s">
        <v>102</v>
      </c>
      <c r="E24" s="15" t="s">
        <v>103</v>
      </c>
    </row>
    <row r="25" spans="2:6">
      <c r="B25" s="12" t="s">
        <v>104</v>
      </c>
    </row>
  </sheetData>
  <mergeCells count="2">
    <mergeCell ref="B3:G3"/>
    <mergeCell ref="C7:G7"/>
  </mergeCells>
  <conditionalFormatting sqref="B12:F22">
    <cfRule type="expression" dxfId="1" priority="1" stopIfTrue="1">
      <formula>AND(B$10=$C$5,B12=$C$6)</formula>
    </cfRule>
    <cfRule type="expression" dxfId="2" priority="2">
      <formula>SUMPRODUCT((데이터!$B$2:$B$45=B$10)*(데이터!$C$2:$C$45=B12)*(데이터!$E$2:$E$45=1))&gt;0</formula>
    </cfRule>
  </conditionalFormatting>
  <dataValidations count="2">
    <dataValidation type="list" allowBlank="1" showInputMessage="1" showErrorMessage="1" promptTitle="제품 선택" sqref="C5">
      <formula1>제품목록</formula1>
    </dataValidation>
    <dataValidation type="list" allowBlank="1" showInputMessage="1" showErrorMessage="1" promptTitle="버전 선택" sqref="C6">
      <formula1>INDIRECT($M$1)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목록</vt:lpstr>
      <vt:lpstr>데이터</vt:lpstr>
      <vt:lpstr>릴리스세트</vt:lpstr>
      <vt:lpstr>호환매트릭스</vt:lpstr>
      <vt:lpstr>v_bf</vt:lpstr>
      <vt:lpstr>v_cmp</vt:lpstr>
      <vt:lpstr>v_p1</vt:lpstr>
      <vt:lpstr>v_p2</vt:lpstr>
      <vt:lpstr>v_sds</vt:lpstr>
      <vt:lpstr>제품목록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2026-08-31T05:50:41Z</dcterms:created>
  <dcterms:modified xsi:type="dcterms:W3CDTF">2026-08-31T05:50:41Z</dcterms:modified>
</cp:coreProperties>
</file>